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es T1" sheetId="1" r:id="rId1"/>
    <sheet name="Synthèse" sheetId="2" r:id="rId2"/>
    <sheet name="Notes" sheetId="3" state="hidden" r:id="rId3"/>
  </sheets>
  <calcPr calcId="124519"/>
</workbook>
</file>

<file path=xl/sharedStrings.xml><?xml version="1.0" encoding="utf-8"?>
<sst xmlns="http://schemas.openxmlformats.org/spreadsheetml/2006/main" count="28" uniqueCount="23">
  <si>
    <t>Ventes du premier trimestre 2026 — Tessane</t>
  </si>
  <si>
    <t>Date</t>
  </si>
  <si>
    <t>Client</t>
  </si>
  <si>
    <t>Produit</t>
  </si>
  <si>
    <t>Quantité</t>
  </si>
  <si>
    <t>Prix unitaire</t>
  </si>
  <si>
    <t>Montant</t>
  </si>
  <si>
    <t>Claire Martin</t>
  </si>
  <si>
    <t>Abonnement annuel</t>
  </si>
  <si>
    <t>Atelier Lumière</t>
  </si>
  <si>
    <t>Formation</t>
  </si>
  <si>
    <t>Assistance</t>
  </si>
  <si>
    <t>Boulangerie Rivière</t>
  </si>
  <si>
    <t>Matériel</t>
  </si>
  <si>
    <t>Total</t>
  </si>
  <si>
    <t>Indicateur</t>
  </si>
  <si>
    <t>Chiffre d'affaires</t>
  </si>
  <si>
    <t>Clôture de l'exercice</t>
  </si>
  <si>
    <t>Objectif atteint</t>
  </si>
  <si>
    <t>Marge sur remise</t>
  </si>
  <si>
    <t>Remarques</t>
  </si>
  <si>
    <t>Relancer Claire Martin pour le renouvellement.
Devis envoyé le 2 mars.</t>
  </si>
  <si>
    <t>Prix | remise négociée : voir le contrat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</si>
</sst>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[$-40C]d mmmm 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46027</v>
      </c>
      <c r="B3" t="s">
        <v>7</v>
      </c>
      <c r="C3" t="s">
        <v>8</v>
      </c>
      <c r="D3">
        <v>2</v>
      </c>
      <c r="E3" s="4">
        <v>120</v>
      </c>
      <c r="F3" s="4">
        <f>D3*E3</f>
        <v>240.0</v>
      </c>
    </row>
    <row r="4" spans="1:6">
      <c r="A4" s="3">
        <v>46041</v>
      </c>
      <c r="B4" t="s">
        <v>9</v>
      </c>
      <c r="C4" t="s">
        <v>10</v>
      </c>
      <c r="D4">
        <v>1</v>
      </c>
      <c r="E4" s="4">
        <v>850</v>
      </c>
      <c r="F4" s="4">
        <f>D4*E4</f>
        <v>850.0</v>
      </c>
    </row>
    <row r="5" spans="1:6">
      <c r="A5" s="3">
        <v>46055</v>
      </c>
      <c r="B5" t="s">
        <v>7</v>
      </c>
      <c r="C5" t="s">
        <v>11</v>
      </c>
      <c r="D5">
        <v>3</v>
      </c>
      <c r="E5" s="4">
        <v>75.5</v>
      </c>
      <c r="F5" s="4">
        <f>D5*E5</f>
        <v>226.5</v>
      </c>
    </row>
    <row r="6" spans="1:6">
      <c r="A6" s="3">
        <v>46076</v>
      </c>
      <c r="B6" t="s">
        <v>12</v>
      </c>
      <c r="C6" t="s">
        <v>8</v>
      </c>
      <c r="D6">
        <v>1</v>
      </c>
      <c r="E6" s="4">
        <v>120</v>
      </c>
      <c r="F6" s="4">
        <f>D6*E6</f>
        <v>120.0</v>
      </c>
    </row>
    <row r="7" spans="1:6">
      <c r="A7" s="3">
        <v>46090</v>
      </c>
      <c r="B7" t="s">
        <v>9</v>
      </c>
      <c r="C7" t="s">
        <v>13</v>
      </c>
      <c r="D7">
        <v>4</v>
      </c>
      <c r="E7" s="4">
        <v>312.25</v>
      </c>
      <c r="F7" s="4">
        <f>D7*E7</f>
        <v>1249.0</v>
      </c>
    </row>
    <row r="8" spans="1:6">
      <c r="A8" s="3">
        <v>46111</v>
      </c>
      <c r="B8" t="s">
        <v>7</v>
      </c>
      <c r="C8" t="s">
        <v>10</v>
      </c>
      <c r="D8">
        <v>1</v>
      </c>
      <c r="E8" s="4">
        <v>850</v>
      </c>
      <c r="F8" s="4">
        <f>D8*E8</f>
        <v>850.0</v>
      </c>
    </row>
    <row r="9" spans="1:6">
      <c r="E9" s="2" t="s">
        <v>14</v>
      </c>
      <c r="F9" s="4">
        <f>SUM(F3:F8)</f>
        <v>3535.5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2" t="s">
        <v>15</v>
      </c>
      <c r="B1" s="2">
        <v>2025</v>
      </c>
      <c r="C1" s="2">
        <v>2026</v>
      </c>
    </row>
    <row r="2" spans="1:3">
      <c r="A2" t="s">
        <v>16</v>
      </c>
      <c r="B2" s="4">
        <v>9800</v>
      </c>
      <c r="C2" s="4">
        <v>3535.5</v>
      </c>
    </row>
    <row r="3" spans="1:3">
      <c r="B3" s="5">
        <v>0.12</v>
      </c>
      <c r="C3" s="5">
        <v>0.153</v>
      </c>
    </row>
    <row r="4" spans="1:3">
      <c r="A4" t="s">
        <v>17</v>
      </c>
      <c r="C4" s="6">
        <v>46387</v>
      </c>
    </row>
    <row r="5" spans="1:3">
      <c r="A5" t="s">
        <v>18</v>
      </c>
      <c r="C5" t="b">
        <v>1</v>
      </c>
    </row>
    <row r="6" spans="1:3">
      <c r="A6" t="s">
        <v>19</v>
      </c>
      <c r="C6" t="e">
        <f>1/0</f>
        <v>#DIV/0!</v>
      </c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20</v>
      </c>
    </row>
    <row r="2" spans="1:1">
      <c r="A2" t="s">
        <v>21</v>
      </c>
    </row>
    <row r="3" spans="1:1">
      <c r="A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Ventes T1</vt:lpstr>
      <vt:lpstr>Synthèse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2026-10-04T13:25:56Z</dcterms:created>
  <dcterms:modified xsi:type="dcterms:W3CDTF">2026-10-04T13:25:56Z</dcterms:modified>
</cp:coreProperties>
</file>